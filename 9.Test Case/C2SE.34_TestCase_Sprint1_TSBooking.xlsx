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firstSheet="7" activeTab="11"/>
  </bookViews>
  <sheets>
    <sheet name="Test Report Sprint 1" sheetId="1" r:id="rId1"/>
    <sheet name="UI Register" sheetId="2" r:id="rId2"/>
    <sheet name="UI Login" sheetId="3" r:id="rId3"/>
    <sheet name="UI Logout" sheetId="4" r:id="rId4"/>
    <sheet name="UI View" sheetId="5" r:id="rId5"/>
    <sheet name="UI Make Online Reservations" sheetId="6" r:id="rId6"/>
    <sheet name="UI Payment" sheetId="7" r:id="rId7"/>
    <sheet name="UI Cancel Ticket" sheetId="8" r:id="rId8"/>
    <sheet name="UI Edit" sheetId="9" r:id="rId9"/>
    <sheet name="UI Add Coach Of Admin" sheetId="10" r:id="rId10"/>
    <sheet name="UI Edit Coach Of Admin" sheetId="11" r:id="rId11"/>
    <sheet name="UI Delete Coach Of Admin" sheetId="12" r:id="rId1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7" l="1"/>
  <c r="B5" i="7"/>
  <c r="D5" i="7" s="1"/>
  <c r="C5" i="2"/>
  <c r="D4" i="1" s="1"/>
  <c r="B5" i="2"/>
  <c r="C4" i="1" l="1"/>
  <c r="E4" i="1" s="1"/>
  <c r="D5" i="2"/>
</calcChain>
</file>

<file path=xl/sharedStrings.xml><?xml version="1.0" encoding="utf-8"?>
<sst xmlns="http://schemas.openxmlformats.org/spreadsheetml/2006/main" count="982" uniqueCount="105">
  <si>
    <t>Test Title</t>
  </si>
  <si>
    <t>Test Summary</t>
  </si>
  <si>
    <t>Test Steps</t>
  </si>
  <si>
    <t>Test Data</t>
  </si>
  <si>
    <t>Expected Result</t>
  </si>
  <si>
    <t>Actual Result</t>
  </si>
  <si>
    <t>Status</t>
  </si>
  <si>
    <t>TC-001</t>
  </si>
  <si>
    <t>Testing the size, position, width, and height of the elements.</t>
  </si>
  <si>
    <t>N/A</t>
  </si>
  <si>
    <t>Compatible</t>
  </si>
  <si>
    <t>TC-002</t>
  </si>
  <si>
    <t>Testing the different sections of the screen.</t>
  </si>
  <si>
    <t>TC-003</t>
  </si>
  <si>
    <t>Testing of the font whether it is readable or not.</t>
  </si>
  <si>
    <t>TC-004</t>
  </si>
  <si>
    <t>Testing of the spelling.</t>
  </si>
  <si>
    <t>TC-005</t>
  </si>
  <si>
    <t>Testing of the size of the images.</t>
  </si>
  <si>
    <t>TC-006</t>
  </si>
  <si>
    <t>Testing the alignment of the images.</t>
  </si>
  <si>
    <t>TC-007</t>
  </si>
  <si>
    <t>Testing overflow the screen</t>
  </si>
  <si>
    <t>Zoom the screen</t>
  </si>
  <si>
    <t>UI doesn't overflow</t>
  </si>
  <si>
    <t>ONLINE COACH TICKET BOOKING SYSTEM</t>
  </si>
  <si>
    <t>Project name</t>
  </si>
  <si>
    <t>Passed</t>
  </si>
  <si>
    <t>Failed</t>
  </si>
  <si>
    <t>Total</t>
  </si>
  <si>
    <t>UI Register testing</t>
  </si>
  <si>
    <t>Test Case</t>
  </si>
  <si>
    <t>Fail</t>
  </si>
  <si>
    <t>Pass</t>
  </si>
  <si>
    <t>UI: Register</t>
  </si>
  <si>
    <t>Testing whether the image has good clarity or not</t>
  </si>
  <si>
    <t>Testing the status when hovering the button "Đăng ký"</t>
  </si>
  <si>
    <t>Testing the space between letters</t>
  </si>
  <si>
    <t>Testing the state of input cells when clicked</t>
  </si>
  <si>
    <t>TC-008</t>
  </si>
  <si>
    <t>TC-009</t>
  </si>
  <si>
    <t>TC-010</t>
  </si>
  <si>
    <t>TC-011</t>
  </si>
  <si>
    <t>Hover on "Đăng ký" button</t>
  </si>
  <si>
    <t>Click on the input boxes</t>
  </si>
  <si>
    <t>Change color</t>
  </si>
  <si>
    <t>Change color of 
border</t>
  </si>
  <si>
    <t>UI Login testing</t>
  </si>
  <si>
    <t>UI: Login</t>
  </si>
  <si>
    <t>Hover on "Đăng nhập" button</t>
  </si>
  <si>
    <t>Testing the status when hovering the button "Đăng nhập"</t>
  </si>
  <si>
    <t>TC-012</t>
  </si>
  <si>
    <t>UI View testing</t>
  </si>
  <si>
    <t>UI Logout testing</t>
  </si>
  <si>
    <t>UI: Logout</t>
  </si>
  <si>
    <t>UI: View</t>
  </si>
  <si>
    <t>UI: Make Online Reservations</t>
  </si>
  <si>
    <t>Testing when clicking the button "Chọn chuyến"</t>
  </si>
  <si>
    <t>Display a box 
containing information</t>
  </si>
  <si>
    <t>Show a box</t>
  </si>
  <si>
    <t>Border color changes</t>
  </si>
  <si>
    <t>Darker colors</t>
  </si>
  <si>
    <t>Change to green</t>
  </si>
  <si>
    <t>Change to blue</t>
  </si>
  <si>
    <t>Testing choose seat</t>
  </si>
  <si>
    <t>1. Click button "Chọn chuyến"
2. Click the boxes that are considered seats</t>
  </si>
  <si>
    <t>The boxes are clickable and the
boxes are changed to blue when clicked</t>
  </si>
  <si>
    <t>The boxes are clickable 
and change to blue</t>
  </si>
  <si>
    <t>TC-013</t>
  </si>
  <si>
    <t>Enter the information of the person who booked the seat</t>
  </si>
  <si>
    <t>1. Click button "Chọn chuyến"
2. Click the boxes that are considered seats
3. Click button "Tiếp tục"</t>
  </si>
  <si>
    <t>Display a box 
to input
The textboxes are importable and change color when selected</t>
  </si>
  <si>
    <t>Show a box and the border of the text box changes to blue when selected</t>
  </si>
  <si>
    <t>TC-014</t>
  </si>
  <si>
    <t>Testing button "Quay lại"</t>
  </si>
  <si>
    <t>1. Click button "Chọn chuyến"
2. Click the boxes that are considered seats
3. Click button "Tiếp tục"
4. Click button "Quay lại"</t>
  </si>
  <si>
    <t>Redisplay the UI of the previous step</t>
  </si>
  <si>
    <t>Missing "Tiếp tục" 
button</t>
  </si>
  <si>
    <t>UI Make Online Reservations testing</t>
  </si>
  <si>
    <t>Testing button "Hủy vé" can click</t>
  </si>
  <si>
    <t>Can click button</t>
  </si>
  <si>
    <t>UI Cancel Ticket</t>
  </si>
  <si>
    <t>UI: Cancel Ticket</t>
  </si>
  <si>
    <t>UI Edit</t>
  </si>
  <si>
    <t>UI: Edit</t>
  </si>
  <si>
    <t>Testing the status when hovering the button "Cập nhật"</t>
  </si>
  <si>
    <t>Change to lighter color</t>
  </si>
  <si>
    <t>Testing return to listhome page after payment timeout</t>
  </si>
  <si>
    <t>Return to listhome</t>
  </si>
  <si>
    <t>UI Add Coach testing</t>
  </si>
  <si>
    <t>UI: Add Coach</t>
  </si>
  <si>
    <t>Testing button "Thêm mới"</t>
  </si>
  <si>
    <t>Clickable and and show a box containing information to enter</t>
  </si>
  <si>
    <t>Can click and show 
box to enter information</t>
  </si>
  <si>
    <t>Testing box "Thêm mới"</t>
  </si>
  <si>
    <t>1. Click button "Thêm mới"
2. "Thêm mới" box appears</t>
  </si>
  <si>
    <t>Input cells are enterable 
and change border color when selected</t>
  </si>
  <si>
    <t>Input cells are inputable
and the border of the cells when selected turns black</t>
  </si>
  <si>
    <t>UI Edit Uer Of Admin</t>
  </si>
  <si>
    <t>UI: Edit User Of Admin</t>
  </si>
  <si>
    <t>UI Delete User Of Admin</t>
  </si>
  <si>
    <t>UI: Delete User Of Admin</t>
  </si>
  <si>
    <t>Tesing permission list in edit user</t>
  </si>
  <si>
    <t>Show 2 permissions 
as dropdown list</t>
  </si>
  <si>
    <t>Show 2 permissions
as dropdown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</si>
</sst>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Times New Roman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3"/>
      <name val="Times New Roman"/>
      <family val="1"/>
    </font>
    <font>
      <sz val="13"/>
      <color theme="1"/>
      <name val="Times New Roman"/>
      <family val="2"/>
    </font>
    <font>
      <sz val="8"/>
      <name val="Times New Roman"/>
      <family val="2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3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workbookViewId="0">
      <selection activeCell="E11" sqref="E11"/>
    </sheetView>
  </sheetViews>
  <sheetFormatPr defaultRowHeight="15.75" x14ac:dyDescent="0.25"/>
  <cols>
    <col min="2" max="2" width="12" bestFit="1" customWidth="1"/>
    <col min="3" max="4" width="17.125" customWidth="1"/>
    <col min="5" max="5" width="26.875" customWidth="1"/>
  </cols>
  <sheetData>
    <row r="2" spans="2:5" ht="40.9" customHeight="1" x14ac:dyDescent="0.25">
      <c r="B2" s="24" t="s">
        <v>26</v>
      </c>
      <c r="C2" s="35" t="s">
        <v>25</v>
      </c>
      <c r="D2" s="36"/>
      <c r="E2" s="37"/>
    </row>
    <row r="3" spans="2:5" ht="31.15" customHeight="1" x14ac:dyDescent="0.25">
      <c r="B3" s="4"/>
      <c r="C3" s="5" t="s">
        <v>27</v>
      </c>
      <c r="D3" s="5" t="s">
        <v>28</v>
      </c>
      <c r="E3" s="5" t="s">
        <v>29</v>
      </c>
    </row>
    <row r="4" spans="2:5" ht="25.15" customHeight="1" x14ac:dyDescent="0.25">
      <c r="B4" s="4"/>
      <c r="C4" s="6">
        <f>SUM('UI Register'!B5+'UI Login'!B5+'UI Logout'!B5+'UI View'!B5+'UI Make Online Reservations'!B5+'UI Cancel Ticket'!B5+'UI Edit'!B5+'UI Payment'!B5)</f>
        <v>84</v>
      </c>
      <c r="D4" s="6">
        <f>SUM('UI Register'!C5+'UI Login'!C5+'UI Logout'!C5+'UI View'!C5+'UI Make Online Reservations'!C5+'UI Cancel Ticket'!C5+'UI Edit'!C5)</f>
        <v>1</v>
      </c>
      <c r="E4" s="6">
        <f>SUM(C4:D4)</f>
        <v>85</v>
      </c>
    </row>
  </sheetData>
  <mergeCells count="1"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8"/>
  <sheetViews>
    <sheetView showGridLines="0" topLeftCell="A4" workbookViewId="0">
      <selection activeCell="E11" sqref="E11"/>
    </sheetView>
  </sheetViews>
  <sheetFormatPr defaultRowHeight="15.75" x14ac:dyDescent="0.25"/>
  <cols>
    <col min="1" max="1" width="13.5" customWidth="1"/>
    <col min="2" max="2" width="11.375" customWidth="1"/>
    <col min="3" max="3" width="49.5" bestFit="1" customWidth="1"/>
    <col min="4" max="4" width="25.25" bestFit="1" customWidth="1"/>
    <col min="5" max="5" width="12.375" customWidth="1"/>
    <col min="6" max="6" width="16.25" bestFit="1" customWidth="1"/>
    <col min="7" max="7" width="18.25" bestFit="1" customWidth="1"/>
    <col min="8" max="8" width="6.75" bestFit="1" customWidth="1"/>
  </cols>
  <sheetData>
    <row r="2" spans="1:24" ht="16.5" x14ac:dyDescent="0.25">
      <c r="A2" s="38" t="s">
        <v>26</v>
      </c>
      <c r="B2" s="35" t="s">
        <v>25</v>
      </c>
      <c r="C2" s="36"/>
      <c r="D2" s="37"/>
      <c r="G2" s="3"/>
    </row>
    <row r="3" spans="1:24" ht="16.5" x14ac:dyDescent="0.25">
      <c r="A3" s="39"/>
      <c r="B3" s="35" t="s">
        <v>30</v>
      </c>
      <c r="C3" s="36"/>
      <c r="D3" s="37"/>
      <c r="G3" s="3"/>
    </row>
    <row r="4" spans="1:24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24" ht="16.5" x14ac:dyDescent="0.25">
      <c r="A5" s="2"/>
      <c r="B5" s="1">
        <f>COUNTIF(H8:H18,"Pass")</f>
        <v>11</v>
      </c>
      <c r="C5" s="1">
        <f>COUNTIF(H8:H18,"Fail")</f>
        <v>0</v>
      </c>
      <c r="D5" s="1">
        <f>SUM(B5:C5)</f>
        <v>11</v>
      </c>
      <c r="G5" s="3"/>
    </row>
    <row r="7" spans="1:24" s="9" customFormat="1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s="9" customFormat="1" ht="33" x14ac:dyDescent="0.25">
      <c r="A8" s="12" t="s">
        <v>7</v>
      </c>
      <c r="B8" s="40" t="s">
        <v>34</v>
      </c>
      <c r="C8" s="11" t="s">
        <v>8</v>
      </c>
      <c r="D8" s="12" t="s">
        <v>9</v>
      </c>
      <c r="E8" s="25" t="s">
        <v>9</v>
      </c>
      <c r="F8" s="11" t="s">
        <v>10</v>
      </c>
      <c r="G8" s="11" t="s">
        <v>10</v>
      </c>
      <c r="H8" s="18" t="s">
        <v>33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s="9" customFormat="1" ht="16.5" x14ac:dyDescent="0.25">
      <c r="A9" s="12" t="s">
        <v>11</v>
      </c>
      <c r="B9" s="41"/>
      <c r="C9" s="11" t="s">
        <v>12</v>
      </c>
      <c r="D9" s="12" t="s">
        <v>9</v>
      </c>
      <c r="E9" s="25" t="s">
        <v>9</v>
      </c>
      <c r="F9" s="11" t="s">
        <v>10</v>
      </c>
      <c r="G9" s="11" t="s">
        <v>10</v>
      </c>
      <c r="H9" s="18" t="s">
        <v>33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s="9" customFormat="1" ht="16.5" x14ac:dyDescent="0.25">
      <c r="A10" s="12" t="s">
        <v>13</v>
      </c>
      <c r="B10" s="41"/>
      <c r="C10" s="11" t="s">
        <v>14</v>
      </c>
      <c r="D10" s="12" t="s">
        <v>9</v>
      </c>
      <c r="E10" s="25" t="s">
        <v>9</v>
      </c>
      <c r="F10" s="11" t="s">
        <v>10</v>
      </c>
      <c r="G10" s="11" t="s">
        <v>10</v>
      </c>
      <c r="H10" s="18" t="s">
        <v>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s="9" customFormat="1" ht="16.5" x14ac:dyDescent="0.25">
      <c r="A11" s="12" t="s">
        <v>15</v>
      </c>
      <c r="B11" s="41"/>
      <c r="C11" s="11" t="s">
        <v>16</v>
      </c>
      <c r="D11" s="12" t="s">
        <v>9</v>
      </c>
      <c r="E11" s="26" t="s">
        <v>9</v>
      </c>
      <c r="F11" s="11" t="s">
        <v>10</v>
      </c>
      <c r="G11" s="11" t="s">
        <v>10</v>
      </c>
      <c r="H11" s="18" t="s">
        <v>33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s="9" customFormat="1" ht="16.5" x14ac:dyDescent="0.25">
      <c r="A12" s="12" t="s">
        <v>17</v>
      </c>
      <c r="B12" s="41"/>
      <c r="C12" s="11" t="s">
        <v>18</v>
      </c>
      <c r="D12" s="12" t="s">
        <v>9</v>
      </c>
      <c r="E12" s="25" t="s">
        <v>9</v>
      </c>
      <c r="F12" s="11" t="s">
        <v>10</v>
      </c>
      <c r="G12" s="11" t="s">
        <v>10</v>
      </c>
      <c r="H12" s="18" t="s">
        <v>33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s="9" customFormat="1" ht="16.5" x14ac:dyDescent="0.25">
      <c r="A13" s="12" t="s">
        <v>19</v>
      </c>
      <c r="B13" s="41"/>
      <c r="C13" s="11" t="s">
        <v>20</v>
      </c>
      <c r="D13" s="12" t="s">
        <v>9</v>
      </c>
      <c r="E13" s="25" t="s">
        <v>9</v>
      </c>
      <c r="F13" s="11" t="s">
        <v>10</v>
      </c>
      <c r="G13" s="11" t="s">
        <v>10</v>
      </c>
      <c r="H13" s="18" t="s">
        <v>33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s="9" customFormat="1" ht="16.5" x14ac:dyDescent="0.25">
      <c r="A14" s="12" t="s">
        <v>21</v>
      </c>
      <c r="B14" s="41"/>
      <c r="C14" s="11" t="s">
        <v>22</v>
      </c>
      <c r="D14" s="12" t="s">
        <v>23</v>
      </c>
      <c r="E14" s="25" t="s">
        <v>9</v>
      </c>
      <c r="F14" s="13" t="s">
        <v>10</v>
      </c>
      <c r="G14" s="13" t="s">
        <v>24</v>
      </c>
      <c r="H14" s="18" t="s">
        <v>33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6.5" x14ac:dyDescent="0.25">
      <c r="A15" s="12" t="s">
        <v>39</v>
      </c>
      <c r="B15" s="41"/>
      <c r="C15" s="14" t="s">
        <v>35</v>
      </c>
      <c r="D15" s="15" t="s">
        <v>9</v>
      </c>
      <c r="E15" s="25" t="s">
        <v>9</v>
      </c>
      <c r="F15" s="13" t="s">
        <v>10</v>
      </c>
      <c r="G15" s="11" t="s">
        <v>10</v>
      </c>
      <c r="H15" s="18" t="s">
        <v>33</v>
      </c>
    </row>
    <row r="16" spans="1:24" ht="16.5" x14ac:dyDescent="0.25">
      <c r="A16" s="12" t="s">
        <v>40</v>
      </c>
      <c r="B16" s="41"/>
      <c r="C16" s="14" t="s">
        <v>36</v>
      </c>
      <c r="D16" s="15" t="s">
        <v>43</v>
      </c>
      <c r="E16" s="25" t="s">
        <v>9</v>
      </c>
      <c r="F16" s="16" t="s">
        <v>45</v>
      </c>
      <c r="G16" s="16" t="s">
        <v>61</v>
      </c>
      <c r="H16" s="18" t="s">
        <v>33</v>
      </c>
    </row>
    <row r="17" spans="1:8" ht="33" x14ac:dyDescent="0.25">
      <c r="A17" s="12" t="s">
        <v>41</v>
      </c>
      <c r="B17" s="41"/>
      <c r="C17" s="16" t="s">
        <v>38</v>
      </c>
      <c r="D17" s="15" t="s">
        <v>44</v>
      </c>
      <c r="E17" s="25" t="s">
        <v>9</v>
      </c>
      <c r="F17" s="17" t="s">
        <v>46</v>
      </c>
      <c r="G17" s="11" t="s">
        <v>62</v>
      </c>
      <c r="H17" s="18" t="s">
        <v>33</v>
      </c>
    </row>
    <row r="18" spans="1:8" ht="16.5" x14ac:dyDescent="0.25">
      <c r="A18" s="12" t="s">
        <v>42</v>
      </c>
      <c r="B18" s="42"/>
      <c r="C18" s="14" t="s">
        <v>37</v>
      </c>
      <c r="D18" s="15" t="s">
        <v>9</v>
      </c>
      <c r="E18" s="25" t="s">
        <v>9</v>
      </c>
      <c r="F18" s="13" t="s">
        <v>10</v>
      </c>
      <c r="G18" s="11" t="s">
        <v>10</v>
      </c>
      <c r="H18" s="18" t="s">
        <v>33</v>
      </c>
    </row>
  </sheetData>
  <mergeCells count="4">
    <mergeCell ref="A2:A3"/>
    <mergeCell ref="B2:D2"/>
    <mergeCell ref="B3:D3"/>
    <mergeCell ref="B8:B18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showGridLines="0" topLeftCell="A7" workbookViewId="0">
      <selection activeCell="E11" sqref="E11"/>
    </sheetView>
  </sheetViews>
  <sheetFormatPr defaultRowHeight="15.75" x14ac:dyDescent="0.25"/>
  <cols>
    <col min="1" max="1" width="13.5" bestFit="1" customWidth="1"/>
    <col min="3" max="3" width="51.5" bestFit="1" customWidth="1"/>
    <col min="4" max="4" width="27.25" bestFit="1" customWidth="1"/>
    <col min="5" max="5" width="10.125" bestFit="1" customWidth="1"/>
    <col min="6" max="6" width="16.25" bestFit="1" customWidth="1"/>
    <col min="7" max="7" width="18.125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47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1">
        <v>11</v>
      </c>
      <c r="C5" s="1">
        <v>0</v>
      </c>
      <c r="D5" s="1">
        <v>11</v>
      </c>
      <c r="G5" s="3"/>
    </row>
    <row r="7" spans="1:8" ht="33" x14ac:dyDescent="0.25">
      <c r="A7" s="10" t="s">
        <v>31</v>
      </c>
      <c r="B7" s="10" t="s">
        <v>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6</v>
      </c>
    </row>
    <row r="8" spans="1:8" ht="33" x14ac:dyDescent="0.25">
      <c r="A8" s="12" t="s">
        <v>7</v>
      </c>
      <c r="B8" s="40" t="s">
        <v>48</v>
      </c>
      <c r="C8" s="11" t="s">
        <v>8</v>
      </c>
      <c r="D8" s="12" t="s">
        <v>9</v>
      </c>
      <c r="E8" s="25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12" t="s">
        <v>11</v>
      </c>
      <c r="B9" s="41"/>
      <c r="C9" s="11" t="s">
        <v>12</v>
      </c>
      <c r="D9" s="12" t="s">
        <v>9</v>
      </c>
      <c r="E9" s="25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12" t="s">
        <v>13</v>
      </c>
      <c r="B10" s="41"/>
      <c r="C10" s="11" t="s">
        <v>14</v>
      </c>
      <c r="D10" s="12" t="s">
        <v>9</v>
      </c>
      <c r="E10" s="25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12" t="s">
        <v>15</v>
      </c>
      <c r="B11" s="41"/>
      <c r="C11" s="11" t="s">
        <v>16</v>
      </c>
      <c r="D11" s="12" t="s">
        <v>9</v>
      </c>
      <c r="E11" s="26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12" t="s">
        <v>17</v>
      </c>
      <c r="B12" s="41"/>
      <c r="C12" s="11" t="s">
        <v>18</v>
      </c>
      <c r="D12" s="12" t="s">
        <v>9</v>
      </c>
      <c r="E12" s="25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12" t="s">
        <v>19</v>
      </c>
      <c r="B13" s="41"/>
      <c r="C13" s="11" t="s">
        <v>20</v>
      </c>
      <c r="D13" s="12" t="s">
        <v>9</v>
      </c>
      <c r="E13" s="25" t="s">
        <v>9</v>
      </c>
      <c r="F13" s="11" t="s">
        <v>10</v>
      </c>
      <c r="G13" s="11" t="s">
        <v>10</v>
      </c>
      <c r="H13" s="18" t="s">
        <v>33</v>
      </c>
    </row>
    <row r="14" spans="1:8" ht="18.600000000000001" customHeight="1" x14ac:dyDescent="0.25">
      <c r="A14" s="12" t="s">
        <v>21</v>
      </c>
      <c r="B14" s="41"/>
      <c r="C14" s="11" t="s">
        <v>22</v>
      </c>
      <c r="D14" s="12" t="s">
        <v>23</v>
      </c>
      <c r="E14" s="25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12" t="s">
        <v>39</v>
      </c>
      <c r="B15" s="41"/>
      <c r="C15" s="16" t="s">
        <v>35</v>
      </c>
      <c r="D15" s="15" t="s">
        <v>9</v>
      </c>
      <c r="E15" s="25" t="s">
        <v>9</v>
      </c>
      <c r="F15" s="13" t="s">
        <v>10</v>
      </c>
      <c r="G15" s="11" t="s">
        <v>10</v>
      </c>
      <c r="H15" s="18" t="s">
        <v>33</v>
      </c>
    </row>
    <row r="16" spans="1:8" ht="16.5" x14ac:dyDescent="0.25">
      <c r="A16" s="12" t="s">
        <v>40</v>
      </c>
      <c r="B16" s="41"/>
      <c r="C16" s="16" t="s">
        <v>50</v>
      </c>
      <c r="D16" s="15" t="s">
        <v>49</v>
      </c>
      <c r="E16" s="25" t="s">
        <v>9</v>
      </c>
      <c r="F16" s="16" t="s">
        <v>45</v>
      </c>
      <c r="G16" s="16" t="s">
        <v>61</v>
      </c>
      <c r="H16" s="18" t="s">
        <v>33</v>
      </c>
    </row>
    <row r="17" spans="1:8" ht="33" x14ac:dyDescent="0.25">
      <c r="A17" s="12" t="s">
        <v>41</v>
      </c>
      <c r="B17" s="41"/>
      <c r="C17" s="16" t="s">
        <v>38</v>
      </c>
      <c r="D17" s="15" t="s">
        <v>44</v>
      </c>
      <c r="E17" s="25" t="s">
        <v>9</v>
      </c>
      <c r="F17" s="17" t="s">
        <v>46</v>
      </c>
      <c r="G17" s="11" t="s">
        <v>63</v>
      </c>
      <c r="H17" s="18" t="s">
        <v>33</v>
      </c>
    </row>
    <row r="18" spans="1:8" ht="16.5" x14ac:dyDescent="0.25">
      <c r="A18" s="12" t="s">
        <v>42</v>
      </c>
      <c r="B18" s="42"/>
      <c r="C18" s="16" t="s">
        <v>37</v>
      </c>
      <c r="D18" s="15" t="s">
        <v>9</v>
      </c>
      <c r="E18" s="25" t="s">
        <v>9</v>
      </c>
      <c r="F18" s="13" t="s">
        <v>10</v>
      </c>
      <c r="G18" s="11" t="s">
        <v>10</v>
      </c>
      <c r="H18" s="18" t="s">
        <v>33</v>
      </c>
    </row>
  </sheetData>
  <mergeCells count="4">
    <mergeCell ref="A2:A3"/>
    <mergeCell ref="B2:D2"/>
    <mergeCell ref="B3:D3"/>
    <mergeCell ref="B8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showGridLines="0" workbookViewId="0">
      <selection activeCell="E11" sqref="E11"/>
    </sheetView>
  </sheetViews>
  <sheetFormatPr defaultRowHeight="15.75" x14ac:dyDescent="0.25"/>
  <cols>
    <col min="1" max="1" width="13.5" bestFit="1" customWidth="1"/>
    <col min="2" max="2" width="10.25" bestFit="1" customWidth="1"/>
    <col min="3" max="3" width="45" bestFit="1" customWidth="1"/>
    <col min="4" max="4" width="15.375" bestFit="1" customWidth="1"/>
    <col min="5" max="5" width="10" style="27" customWidth="1"/>
    <col min="6" max="6" width="16.25" bestFit="1" customWidth="1"/>
    <col min="7" max="7" width="18.25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53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1">
        <v>9</v>
      </c>
      <c r="C5" s="1">
        <v>0</v>
      </c>
      <c r="D5" s="1">
        <v>9</v>
      </c>
      <c r="G5" s="3"/>
    </row>
    <row r="7" spans="1:8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6</v>
      </c>
    </row>
    <row r="8" spans="1:8" ht="33" x14ac:dyDescent="0.25">
      <c r="A8" s="12" t="s">
        <v>7</v>
      </c>
      <c r="B8" s="44" t="s">
        <v>54</v>
      </c>
      <c r="C8" s="11" t="s">
        <v>8</v>
      </c>
      <c r="D8" s="12" t="s">
        <v>9</v>
      </c>
      <c r="E8" s="25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12" t="s">
        <v>11</v>
      </c>
      <c r="B9" s="44"/>
      <c r="C9" s="11" t="s">
        <v>12</v>
      </c>
      <c r="D9" s="12" t="s">
        <v>9</v>
      </c>
      <c r="E9" s="25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12" t="s">
        <v>13</v>
      </c>
      <c r="B10" s="44"/>
      <c r="C10" s="11" t="s">
        <v>14</v>
      </c>
      <c r="D10" s="12" t="s">
        <v>9</v>
      </c>
      <c r="E10" s="25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12" t="s">
        <v>15</v>
      </c>
      <c r="B11" s="44"/>
      <c r="C11" s="11" t="s">
        <v>16</v>
      </c>
      <c r="D11" s="12" t="s">
        <v>9</v>
      </c>
      <c r="E11" s="26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12" t="s">
        <v>17</v>
      </c>
      <c r="B12" s="44"/>
      <c r="C12" s="11" t="s">
        <v>18</v>
      </c>
      <c r="D12" s="12" t="s">
        <v>9</v>
      </c>
      <c r="E12" s="25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12" t="s">
        <v>19</v>
      </c>
      <c r="B13" s="44"/>
      <c r="C13" s="11" t="s">
        <v>20</v>
      </c>
      <c r="D13" s="12" t="s">
        <v>9</v>
      </c>
      <c r="E13" s="25" t="s">
        <v>9</v>
      </c>
      <c r="F13" s="11" t="s">
        <v>10</v>
      </c>
      <c r="G13" s="11" t="s">
        <v>10</v>
      </c>
      <c r="H13" s="18" t="s">
        <v>33</v>
      </c>
    </row>
    <row r="14" spans="1:8" ht="33" x14ac:dyDescent="0.25">
      <c r="A14" s="12" t="s">
        <v>21</v>
      </c>
      <c r="B14" s="44"/>
      <c r="C14" s="11" t="s">
        <v>22</v>
      </c>
      <c r="D14" s="12" t="s">
        <v>23</v>
      </c>
      <c r="E14" s="25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12" t="s">
        <v>39</v>
      </c>
      <c r="B15" s="44"/>
      <c r="C15" s="16" t="s">
        <v>35</v>
      </c>
      <c r="D15" s="15" t="s">
        <v>9</v>
      </c>
      <c r="E15" s="25" t="s">
        <v>9</v>
      </c>
      <c r="F15" s="13" t="s">
        <v>10</v>
      </c>
      <c r="G15" s="11" t="s">
        <v>10</v>
      </c>
      <c r="H15" s="18" t="s">
        <v>33</v>
      </c>
    </row>
    <row r="16" spans="1:8" ht="16.5" x14ac:dyDescent="0.25">
      <c r="A16" s="12" t="s">
        <v>40</v>
      </c>
      <c r="B16" s="44"/>
      <c r="C16" s="16" t="s">
        <v>37</v>
      </c>
      <c r="D16" s="15" t="s">
        <v>9</v>
      </c>
      <c r="E16" s="25" t="s">
        <v>9</v>
      </c>
      <c r="F16" s="16" t="s">
        <v>10</v>
      </c>
      <c r="G16" s="11" t="s">
        <v>10</v>
      </c>
      <c r="H16" s="18" t="s">
        <v>33</v>
      </c>
    </row>
  </sheetData>
  <mergeCells count="4">
    <mergeCell ref="A2:A3"/>
    <mergeCell ref="B2:D2"/>
    <mergeCell ref="B3:D3"/>
    <mergeCell ref="B8:B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showGridLines="0" workbookViewId="0">
      <selection activeCell="E11" sqref="E11"/>
    </sheetView>
  </sheetViews>
  <sheetFormatPr defaultRowHeight="15.75" x14ac:dyDescent="0.25"/>
  <cols>
    <col min="1" max="1" width="13.5" bestFit="1" customWidth="1"/>
    <col min="2" max="2" width="10" bestFit="1" customWidth="1"/>
    <col min="3" max="3" width="45" bestFit="1" customWidth="1"/>
    <col min="4" max="4" width="15.375" bestFit="1" customWidth="1"/>
    <col min="5" max="5" width="10.875" style="27" customWidth="1"/>
    <col min="6" max="6" width="16.25" bestFit="1" customWidth="1"/>
    <col min="7" max="7" width="17.875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52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1">
        <v>9</v>
      </c>
      <c r="C5" s="1">
        <v>0</v>
      </c>
      <c r="D5" s="1">
        <v>9</v>
      </c>
      <c r="G5" s="3"/>
    </row>
    <row r="7" spans="1:8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6</v>
      </c>
    </row>
    <row r="8" spans="1:8" ht="33" x14ac:dyDescent="0.25">
      <c r="A8" s="12" t="s">
        <v>7</v>
      </c>
      <c r="B8" s="44" t="s">
        <v>55</v>
      </c>
      <c r="C8" s="11" t="s">
        <v>8</v>
      </c>
      <c r="D8" s="12" t="s">
        <v>9</v>
      </c>
      <c r="E8" s="25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12" t="s">
        <v>11</v>
      </c>
      <c r="B9" s="44"/>
      <c r="C9" s="11" t="s">
        <v>12</v>
      </c>
      <c r="D9" s="12" t="s">
        <v>9</v>
      </c>
      <c r="E9" s="25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12" t="s">
        <v>13</v>
      </c>
      <c r="B10" s="44"/>
      <c r="C10" s="11" t="s">
        <v>14</v>
      </c>
      <c r="D10" s="12" t="s">
        <v>9</v>
      </c>
      <c r="E10" s="25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12" t="s">
        <v>15</v>
      </c>
      <c r="B11" s="44"/>
      <c r="C11" s="11" t="s">
        <v>16</v>
      </c>
      <c r="D11" s="12" t="s">
        <v>9</v>
      </c>
      <c r="E11" s="26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12" t="s">
        <v>17</v>
      </c>
      <c r="B12" s="44"/>
      <c r="C12" s="11" t="s">
        <v>18</v>
      </c>
      <c r="D12" s="12" t="s">
        <v>9</v>
      </c>
      <c r="E12" s="25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12" t="s">
        <v>19</v>
      </c>
      <c r="B13" s="44"/>
      <c r="C13" s="11" t="s">
        <v>20</v>
      </c>
      <c r="D13" s="12" t="s">
        <v>9</v>
      </c>
      <c r="E13" s="25" t="s">
        <v>9</v>
      </c>
      <c r="F13" s="11" t="s">
        <v>10</v>
      </c>
      <c r="G13" s="11" t="s">
        <v>10</v>
      </c>
      <c r="H13" s="18" t="s">
        <v>33</v>
      </c>
    </row>
    <row r="14" spans="1:8" ht="15.6" customHeight="1" x14ac:dyDescent="0.25">
      <c r="A14" s="12" t="s">
        <v>21</v>
      </c>
      <c r="B14" s="44"/>
      <c r="C14" s="11" t="s">
        <v>22</v>
      </c>
      <c r="D14" s="12" t="s">
        <v>23</v>
      </c>
      <c r="E14" s="25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12" t="s">
        <v>39</v>
      </c>
      <c r="B15" s="44"/>
      <c r="C15" s="16" t="s">
        <v>35</v>
      </c>
      <c r="D15" s="15" t="s">
        <v>9</v>
      </c>
      <c r="E15" s="25" t="s">
        <v>9</v>
      </c>
      <c r="F15" s="13" t="s">
        <v>10</v>
      </c>
      <c r="G15" s="11" t="s">
        <v>10</v>
      </c>
      <c r="H15" s="18" t="s">
        <v>33</v>
      </c>
    </row>
    <row r="16" spans="1:8" ht="16.5" x14ac:dyDescent="0.25">
      <c r="A16" s="12" t="s">
        <v>40</v>
      </c>
      <c r="B16" s="44"/>
      <c r="C16" s="16" t="s">
        <v>37</v>
      </c>
      <c r="D16" s="15" t="s">
        <v>9</v>
      </c>
      <c r="E16" s="25" t="s">
        <v>9</v>
      </c>
      <c r="F16" s="13" t="s">
        <v>10</v>
      </c>
      <c r="G16" s="11" t="s">
        <v>10</v>
      </c>
      <c r="H16" s="18" t="s">
        <v>33</v>
      </c>
    </row>
    <row r="17" spans="1:1" ht="16.5" x14ac:dyDescent="0.25">
      <c r="A17" s="23"/>
    </row>
  </sheetData>
  <mergeCells count="4">
    <mergeCell ref="A2:A3"/>
    <mergeCell ref="B2:D2"/>
    <mergeCell ref="B3:D3"/>
    <mergeCell ref="B8:B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showGridLines="0" workbookViewId="0">
      <selection activeCell="E11" sqref="E11"/>
    </sheetView>
  </sheetViews>
  <sheetFormatPr defaultRowHeight="15.75" x14ac:dyDescent="0.25"/>
  <cols>
    <col min="1" max="1" width="13.5" bestFit="1" customWidth="1"/>
    <col min="2" max="2" width="15.75" bestFit="1" customWidth="1"/>
    <col min="3" max="3" width="50.875" bestFit="1" customWidth="1"/>
    <col min="4" max="4" width="24.375" bestFit="1" customWidth="1"/>
    <col min="5" max="5" width="10" style="28" customWidth="1"/>
    <col min="6" max="6" width="17.25" bestFit="1" customWidth="1"/>
    <col min="7" max="7" width="18.5" bestFit="1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78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1">
        <v>13</v>
      </c>
      <c r="C5" s="1">
        <v>1</v>
      </c>
      <c r="D5" s="1">
        <v>13</v>
      </c>
      <c r="G5" s="3"/>
    </row>
    <row r="7" spans="1:8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29" t="s">
        <v>3</v>
      </c>
      <c r="F7" s="10" t="s">
        <v>4</v>
      </c>
      <c r="G7" s="10" t="s">
        <v>5</v>
      </c>
      <c r="H7" s="10" t="s">
        <v>6</v>
      </c>
    </row>
    <row r="8" spans="1:8" ht="33.6" customHeight="1" x14ac:dyDescent="0.25">
      <c r="A8" s="12" t="s">
        <v>7</v>
      </c>
      <c r="B8" s="40" t="s">
        <v>56</v>
      </c>
      <c r="C8" s="11" t="s">
        <v>8</v>
      </c>
      <c r="D8" s="12" t="s">
        <v>9</v>
      </c>
      <c r="E8" s="30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12" t="s">
        <v>11</v>
      </c>
      <c r="B9" s="41"/>
      <c r="C9" s="11" t="s">
        <v>12</v>
      </c>
      <c r="D9" s="12" t="s">
        <v>9</v>
      </c>
      <c r="E9" s="30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12" t="s">
        <v>13</v>
      </c>
      <c r="B10" s="41"/>
      <c r="C10" s="11" t="s">
        <v>14</v>
      </c>
      <c r="D10" s="12" t="s">
        <v>9</v>
      </c>
      <c r="E10" s="30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12" t="s">
        <v>15</v>
      </c>
      <c r="B11" s="41"/>
      <c r="C11" s="11" t="s">
        <v>16</v>
      </c>
      <c r="D11" s="12" t="s">
        <v>9</v>
      </c>
      <c r="E11" s="31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12" t="s">
        <v>17</v>
      </c>
      <c r="B12" s="41"/>
      <c r="C12" s="11" t="s">
        <v>18</v>
      </c>
      <c r="D12" s="12" t="s">
        <v>9</v>
      </c>
      <c r="E12" s="30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12" t="s">
        <v>19</v>
      </c>
      <c r="B13" s="41"/>
      <c r="C13" s="11" t="s">
        <v>20</v>
      </c>
      <c r="D13" s="12" t="s">
        <v>9</v>
      </c>
      <c r="E13" s="30" t="s">
        <v>9</v>
      </c>
      <c r="F13" s="11" t="s">
        <v>10</v>
      </c>
      <c r="G13" s="11" t="s">
        <v>10</v>
      </c>
      <c r="H13" s="18" t="s">
        <v>33</v>
      </c>
    </row>
    <row r="14" spans="1:8" ht="15.6" customHeight="1" x14ac:dyDescent="0.25">
      <c r="A14" s="12" t="s">
        <v>21</v>
      </c>
      <c r="B14" s="41"/>
      <c r="C14" s="11" t="s">
        <v>22</v>
      </c>
      <c r="D14" s="12" t="s">
        <v>23</v>
      </c>
      <c r="E14" s="30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12" t="s">
        <v>39</v>
      </c>
      <c r="B15" s="41"/>
      <c r="C15" s="16" t="s">
        <v>35</v>
      </c>
      <c r="D15" s="15" t="s">
        <v>9</v>
      </c>
      <c r="E15" s="30" t="s">
        <v>9</v>
      </c>
      <c r="F15" s="13" t="s">
        <v>10</v>
      </c>
      <c r="G15" s="11" t="s">
        <v>10</v>
      </c>
      <c r="H15" s="18" t="s">
        <v>33</v>
      </c>
    </row>
    <row r="16" spans="1:8" ht="33" x14ac:dyDescent="0.25">
      <c r="A16" s="12" t="s">
        <v>40</v>
      </c>
      <c r="B16" s="41"/>
      <c r="C16" s="16" t="s">
        <v>38</v>
      </c>
      <c r="D16" s="15" t="s">
        <v>44</v>
      </c>
      <c r="E16" s="30" t="s">
        <v>9</v>
      </c>
      <c r="F16" s="17" t="s">
        <v>46</v>
      </c>
      <c r="G16" s="11" t="s">
        <v>60</v>
      </c>
      <c r="H16" s="18" t="s">
        <v>33</v>
      </c>
    </row>
    <row r="17" spans="1:8" ht="16.5" x14ac:dyDescent="0.25">
      <c r="A17" s="12" t="s">
        <v>41</v>
      </c>
      <c r="B17" s="41"/>
      <c r="C17" s="16" t="s">
        <v>37</v>
      </c>
      <c r="D17" s="15" t="s">
        <v>9</v>
      </c>
      <c r="E17" s="30" t="s">
        <v>9</v>
      </c>
      <c r="F17" s="13" t="s">
        <v>10</v>
      </c>
      <c r="G17" s="11" t="s">
        <v>10</v>
      </c>
      <c r="H17" s="18" t="s">
        <v>33</v>
      </c>
    </row>
    <row r="18" spans="1:8" ht="49.5" x14ac:dyDescent="0.25">
      <c r="A18" s="12" t="s">
        <v>42</v>
      </c>
      <c r="B18" s="41"/>
      <c r="C18" s="20" t="s">
        <v>57</v>
      </c>
      <c r="D18" s="1" t="s">
        <v>9</v>
      </c>
      <c r="E18" s="30" t="s">
        <v>9</v>
      </c>
      <c r="F18" s="13" t="s">
        <v>58</v>
      </c>
      <c r="G18" s="11" t="s">
        <v>59</v>
      </c>
      <c r="H18" s="18" t="s">
        <v>33</v>
      </c>
    </row>
    <row r="19" spans="1:8" ht="82.5" x14ac:dyDescent="0.25">
      <c r="A19" s="12" t="s">
        <v>51</v>
      </c>
      <c r="B19" s="41"/>
      <c r="C19" s="20" t="s">
        <v>64</v>
      </c>
      <c r="D19" s="13" t="s">
        <v>65</v>
      </c>
      <c r="E19" s="30" t="s">
        <v>9</v>
      </c>
      <c r="F19" s="13" t="s">
        <v>66</v>
      </c>
      <c r="G19" s="13" t="s">
        <v>67</v>
      </c>
      <c r="H19" s="21" t="s">
        <v>33</v>
      </c>
    </row>
    <row r="20" spans="1:8" ht="99" x14ac:dyDescent="0.25">
      <c r="A20" s="12" t="s">
        <v>68</v>
      </c>
      <c r="B20" s="41"/>
      <c r="C20" s="20" t="s">
        <v>69</v>
      </c>
      <c r="D20" s="13" t="s">
        <v>70</v>
      </c>
      <c r="E20" s="30" t="s">
        <v>9</v>
      </c>
      <c r="F20" s="13" t="s">
        <v>71</v>
      </c>
      <c r="G20" s="11" t="s">
        <v>72</v>
      </c>
      <c r="H20" s="21" t="s">
        <v>33</v>
      </c>
    </row>
    <row r="21" spans="1:8" ht="99" x14ac:dyDescent="0.25">
      <c r="A21" s="12" t="s">
        <v>73</v>
      </c>
      <c r="B21" s="42"/>
      <c r="C21" s="20" t="s">
        <v>74</v>
      </c>
      <c r="D21" s="13" t="s">
        <v>75</v>
      </c>
      <c r="E21" s="30" t="s">
        <v>9</v>
      </c>
      <c r="F21" s="13" t="s">
        <v>76</v>
      </c>
      <c r="G21" s="22" t="s">
        <v>77</v>
      </c>
      <c r="H21" s="18" t="s">
        <v>32</v>
      </c>
    </row>
  </sheetData>
  <mergeCells count="4">
    <mergeCell ref="A2:A3"/>
    <mergeCell ref="B2:D2"/>
    <mergeCell ref="B3:D3"/>
    <mergeCell ref="B8:B21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9"/>
  <sheetViews>
    <sheetView showGridLines="0" workbookViewId="0">
      <selection activeCell="E11" sqref="E11"/>
    </sheetView>
  </sheetViews>
  <sheetFormatPr defaultRowHeight="15.75" x14ac:dyDescent="0.25"/>
  <cols>
    <col min="1" max="1" width="13.5" bestFit="1" customWidth="1"/>
    <col min="2" max="2" width="11.375" bestFit="1" customWidth="1"/>
    <col min="3" max="3" width="54.25" bestFit="1" customWidth="1"/>
    <col min="4" max="4" width="25.25" customWidth="1"/>
    <col min="5" max="5" width="10" style="27" customWidth="1"/>
    <col min="6" max="6" width="19.5" customWidth="1"/>
    <col min="7" max="7" width="18.75" customWidth="1"/>
    <col min="8" max="8" width="6.75" bestFit="1" customWidth="1"/>
  </cols>
  <sheetData>
    <row r="2" spans="1:24" ht="16.5" x14ac:dyDescent="0.25">
      <c r="A2" s="38" t="s">
        <v>26</v>
      </c>
      <c r="B2" s="35" t="s">
        <v>25</v>
      </c>
      <c r="C2" s="36"/>
      <c r="D2" s="37"/>
      <c r="G2" s="3"/>
    </row>
    <row r="3" spans="1:24" ht="16.5" x14ac:dyDescent="0.25">
      <c r="A3" s="39"/>
      <c r="B3" s="35" t="s">
        <v>30</v>
      </c>
      <c r="C3" s="36"/>
      <c r="D3" s="37"/>
      <c r="G3" s="3"/>
    </row>
    <row r="4" spans="1:24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24" ht="16.5" x14ac:dyDescent="0.25">
      <c r="A5" s="2"/>
      <c r="B5" s="1">
        <f>COUNTIF(H8:H18,"Pass")</f>
        <v>11</v>
      </c>
      <c r="C5" s="1">
        <f>COUNTIF(H8:H18,"Fail")</f>
        <v>0</v>
      </c>
      <c r="D5" s="1">
        <f>SUM(B5:C5)</f>
        <v>11</v>
      </c>
      <c r="G5" s="3"/>
    </row>
    <row r="7" spans="1:24" s="9" customFormat="1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s="9" customFormat="1" ht="33.6" customHeight="1" x14ac:dyDescent="0.25">
      <c r="A8" s="12" t="s">
        <v>7</v>
      </c>
      <c r="B8" s="40" t="s">
        <v>34</v>
      </c>
      <c r="C8" s="11" t="s">
        <v>8</v>
      </c>
      <c r="D8" s="12" t="s">
        <v>9</v>
      </c>
      <c r="E8" s="25" t="s">
        <v>9</v>
      </c>
      <c r="F8" s="11" t="s">
        <v>10</v>
      </c>
      <c r="G8" s="11" t="s">
        <v>10</v>
      </c>
      <c r="H8" s="18" t="s">
        <v>33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s="9" customFormat="1" ht="16.5" x14ac:dyDescent="0.25">
      <c r="A9" s="12" t="s">
        <v>11</v>
      </c>
      <c r="B9" s="41"/>
      <c r="C9" s="11" t="s">
        <v>12</v>
      </c>
      <c r="D9" s="12" t="s">
        <v>9</v>
      </c>
      <c r="E9" s="25" t="s">
        <v>9</v>
      </c>
      <c r="F9" s="11" t="s">
        <v>10</v>
      </c>
      <c r="G9" s="11" t="s">
        <v>10</v>
      </c>
      <c r="H9" s="18" t="s">
        <v>33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s="9" customFormat="1" ht="16.5" x14ac:dyDescent="0.25">
      <c r="A10" s="12" t="s">
        <v>13</v>
      </c>
      <c r="B10" s="41"/>
      <c r="C10" s="11" t="s">
        <v>14</v>
      </c>
      <c r="D10" s="12" t="s">
        <v>9</v>
      </c>
      <c r="E10" s="25" t="s">
        <v>9</v>
      </c>
      <c r="F10" s="11" t="s">
        <v>10</v>
      </c>
      <c r="G10" s="11" t="s">
        <v>10</v>
      </c>
      <c r="H10" s="18" t="s">
        <v>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s="9" customFormat="1" ht="16.5" x14ac:dyDescent="0.25">
      <c r="A11" s="12" t="s">
        <v>15</v>
      </c>
      <c r="B11" s="41"/>
      <c r="C11" s="11" t="s">
        <v>16</v>
      </c>
      <c r="D11" s="12" t="s">
        <v>9</v>
      </c>
      <c r="E11" s="26" t="s">
        <v>9</v>
      </c>
      <c r="F11" s="11" t="s">
        <v>10</v>
      </c>
      <c r="G11" s="11" t="s">
        <v>10</v>
      </c>
      <c r="H11" s="18" t="s">
        <v>33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s="9" customFormat="1" ht="16.5" x14ac:dyDescent="0.25">
      <c r="A12" s="12" t="s">
        <v>17</v>
      </c>
      <c r="B12" s="41"/>
      <c r="C12" s="11" t="s">
        <v>18</v>
      </c>
      <c r="D12" s="12" t="s">
        <v>9</v>
      </c>
      <c r="E12" s="25" t="s">
        <v>9</v>
      </c>
      <c r="F12" s="11" t="s">
        <v>10</v>
      </c>
      <c r="G12" s="11" t="s">
        <v>10</v>
      </c>
      <c r="H12" s="18" t="s">
        <v>33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s="9" customFormat="1" ht="16.5" x14ac:dyDescent="0.25">
      <c r="A13" s="12" t="s">
        <v>19</v>
      </c>
      <c r="B13" s="41"/>
      <c r="C13" s="11" t="s">
        <v>20</v>
      </c>
      <c r="D13" s="12" t="s">
        <v>9</v>
      </c>
      <c r="E13" s="25" t="s">
        <v>9</v>
      </c>
      <c r="F13" s="11" t="s">
        <v>10</v>
      </c>
      <c r="G13" s="11" t="s">
        <v>10</v>
      </c>
      <c r="H13" s="18" t="s">
        <v>33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s="9" customFormat="1" ht="16.5" x14ac:dyDescent="0.25">
      <c r="A14" s="12" t="s">
        <v>21</v>
      </c>
      <c r="B14" s="41"/>
      <c r="C14" s="11" t="s">
        <v>22</v>
      </c>
      <c r="D14" s="12" t="s">
        <v>23</v>
      </c>
      <c r="E14" s="25" t="s">
        <v>9</v>
      </c>
      <c r="F14" s="13" t="s">
        <v>10</v>
      </c>
      <c r="G14" s="13" t="s">
        <v>24</v>
      </c>
      <c r="H14" s="18" t="s">
        <v>33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6.5" x14ac:dyDescent="0.25">
      <c r="A15" s="12" t="s">
        <v>39</v>
      </c>
      <c r="B15" s="41"/>
      <c r="C15" s="14" t="s">
        <v>35</v>
      </c>
      <c r="D15" s="15" t="s">
        <v>9</v>
      </c>
      <c r="E15" s="25" t="s">
        <v>9</v>
      </c>
      <c r="F15" s="13" t="s">
        <v>10</v>
      </c>
      <c r="G15" s="11" t="s">
        <v>10</v>
      </c>
      <c r="H15" s="18" t="s">
        <v>33</v>
      </c>
    </row>
    <row r="16" spans="1:24" ht="16.5" x14ac:dyDescent="0.25">
      <c r="A16" s="12" t="s">
        <v>40</v>
      </c>
      <c r="B16" s="41"/>
      <c r="C16" s="14" t="s">
        <v>36</v>
      </c>
      <c r="D16" s="15" t="s">
        <v>43</v>
      </c>
      <c r="E16" s="25" t="s">
        <v>9</v>
      </c>
      <c r="F16" s="16" t="s">
        <v>45</v>
      </c>
      <c r="G16" s="16" t="s">
        <v>61</v>
      </c>
      <c r="H16" s="18" t="s">
        <v>33</v>
      </c>
    </row>
    <row r="17" spans="1:8" ht="33" x14ac:dyDescent="0.25">
      <c r="A17" s="12" t="s">
        <v>41</v>
      </c>
      <c r="B17" s="41"/>
      <c r="C17" s="16" t="s">
        <v>38</v>
      </c>
      <c r="D17" s="15" t="s">
        <v>44</v>
      </c>
      <c r="E17" s="25" t="s">
        <v>9</v>
      </c>
      <c r="F17" s="17" t="s">
        <v>46</v>
      </c>
      <c r="G17" s="11" t="s">
        <v>62</v>
      </c>
      <c r="H17" s="18" t="s">
        <v>33</v>
      </c>
    </row>
    <row r="18" spans="1:8" ht="16.5" x14ac:dyDescent="0.25">
      <c r="A18" s="12" t="s">
        <v>42</v>
      </c>
      <c r="B18" s="41"/>
      <c r="C18" s="14" t="s">
        <v>37</v>
      </c>
      <c r="D18" s="15" t="s">
        <v>9</v>
      </c>
      <c r="E18" s="25" t="s">
        <v>9</v>
      </c>
      <c r="F18" s="13" t="s">
        <v>10</v>
      </c>
      <c r="G18" s="11" t="s">
        <v>10</v>
      </c>
      <c r="H18" s="18" t="s">
        <v>33</v>
      </c>
    </row>
    <row r="19" spans="1:8" ht="16.5" x14ac:dyDescent="0.25">
      <c r="A19" s="12" t="s">
        <v>51</v>
      </c>
      <c r="B19" s="42"/>
      <c r="C19" s="14" t="s">
        <v>87</v>
      </c>
      <c r="D19" s="15" t="s">
        <v>9</v>
      </c>
      <c r="E19" s="25" t="s">
        <v>9</v>
      </c>
      <c r="F19" s="13" t="s">
        <v>88</v>
      </c>
      <c r="G19" s="13" t="s">
        <v>88</v>
      </c>
      <c r="H19" s="18" t="s">
        <v>33</v>
      </c>
    </row>
  </sheetData>
  <mergeCells count="4">
    <mergeCell ref="A2:A3"/>
    <mergeCell ref="B2:D2"/>
    <mergeCell ref="B3:D3"/>
    <mergeCell ref="B8:B19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showGridLines="0" workbookViewId="0">
      <selection activeCell="E11" sqref="E11"/>
    </sheetView>
  </sheetViews>
  <sheetFormatPr defaultRowHeight="15.75" x14ac:dyDescent="0.25"/>
  <cols>
    <col min="1" max="1" width="13.5" bestFit="1" customWidth="1"/>
    <col min="2" max="2" width="10.25" bestFit="1" customWidth="1"/>
    <col min="3" max="3" width="44.875" bestFit="1" customWidth="1"/>
    <col min="4" max="4" width="15.375" bestFit="1" customWidth="1"/>
    <col min="5" max="5" width="10.125" style="27" bestFit="1" customWidth="1"/>
    <col min="6" max="6" width="12.5" customWidth="1"/>
    <col min="7" max="7" width="18.25" bestFit="1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81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1">
        <v>10</v>
      </c>
      <c r="C5" s="1">
        <v>0</v>
      </c>
      <c r="D5" s="1">
        <v>10</v>
      </c>
      <c r="G5" s="3"/>
    </row>
    <row r="7" spans="1:8" ht="33" x14ac:dyDescent="0.25">
      <c r="A7" s="10" t="s">
        <v>31</v>
      </c>
      <c r="B7" s="10" t="s">
        <v>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6</v>
      </c>
    </row>
    <row r="8" spans="1:8" ht="33" x14ac:dyDescent="0.25">
      <c r="A8" s="12" t="s">
        <v>7</v>
      </c>
      <c r="B8" s="40" t="s">
        <v>82</v>
      </c>
      <c r="C8" s="11" t="s">
        <v>8</v>
      </c>
      <c r="D8" s="12" t="s">
        <v>9</v>
      </c>
      <c r="E8" s="25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12" t="s">
        <v>11</v>
      </c>
      <c r="B9" s="41"/>
      <c r="C9" s="11" t="s">
        <v>12</v>
      </c>
      <c r="D9" s="12" t="s">
        <v>9</v>
      </c>
      <c r="E9" s="25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12" t="s">
        <v>13</v>
      </c>
      <c r="B10" s="41"/>
      <c r="C10" s="11" t="s">
        <v>14</v>
      </c>
      <c r="D10" s="12" t="s">
        <v>9</v>
      </c>
      <c r="E10" s="25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12" t="s">
        <v>15</v>
      </c>
      <c r="B11" s="41"/>
      <c r="C11" s="11" t="s">
        <v>16</v>
      </c>
      <c r="D11" s="12" t="s">
        <v>9</v>
      </c>
      <c r="E11" s="26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12" t="s">
        <v>17</v>
      </c>
      <c r="B12" s="41"/>
      <c r="C12" s="11" t="s">
        <v>18</v>
      </c>
      <c r="D12" s="12" t="s">
        <v>9</v>
      </c>
      <c r="E12" s="25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12" t="s">
        <v>19</v>
      </c>
      <c r="B13" s="41"/>
      <c r="C13" s="11" t="s">
        <v>20</v>
      </c>
      <c r="D13" s="12" t="s">
        <v>9</v>
      </c>
      <c r="E13" s="25" t="s">
        <v>9</v>
      </c>
      <c r="F13" s="11" t="s">
        <v>10</v>
      </c>
      <c r="G13" s="11" t="s">
        <v>10</v>
      </c>
      <c r="H13" s="18" t="s">
        <v>33</v>
      </c>
    </row>
    <row r="14" spans="1:8" ht="33" x14ac:dyDescent="0.25">
      <c r="A14" s="12" t="s">
        <v>21</v>
      </c>
      <c r="B14" s="41"/>
      <c r="C14" s="11" t="s">
        <v>22</v>
      </c>
      <c r="D14" s="12" t="s">
        <v>23</v>
      </c>
      <c r="E14" s="25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12" t="s">
        <v>39</v>
      </c>
      <c r="B15" s="41"/>
      <c r="C15" s="16" t="s">
        <v>35</v>
      </c>
      <c r="D15" s="15" t="s">
        <v>9</v>
      </c>
      <c r="E15" s="25" t="s">
        <v>9</v>
      </c>
      <c r="F15" s="13" t="s">
        <v>10</v>
      </c>
      <c r="G15" s="11" t="s">
        <v>10</v>
      </c>
      <c r="H15" s="18" t="s">
        <v>33</v>
      </c>
    </row>
    <row r="16" spans="1:8" ht="16.5" x14ac:dyDescent="0.25">
      <c r="A16" s="12" t="s">
        <v>40</v>
      </c>
      <c r="B16" s="41"/>
      <c r="C16" s="16" t="s">
        <v>37</v>
      </c>
      <c r="D16" s="15" t="s">
        <v>9</v>
      </c>
      <c r="E16" s="25" t="s">
        <v>9</v>
      </c>
      <c r="F16" s="13" t="s">
        <v>10</v>
      </c>
      <c r="G16" s="11" t="s">
        <v>10</v>
      </c>
      <c r="H16" s="18" t="s">
        <v>33</v>
      </c>
    </row>
    <row r="17" spans="1:8" ht="33" x14ac:dyDescent="0.25">
      <c r="A17" s="12" t="s">
        <v>41</v>
      </c>
      <c r="B17" s="42"/>
      <c r="C17" s="11" t="s">
        <v>79</v>
      </c>
      <c r="D17" s="12" t="s">
        <v>9</v>
      </c>
      <c r="E17" s="25" t="s">
        <v>9</v>
      </c>
      <c r="F17" s="13" t="s">
        <v>80</v>
      </c>
      <c r="G17" s="11" t="s">
        <v>80</v>
      </c>
      <c r="H17" s="18" t="s">
        <v>33</v>
      </c>
    </row>
  </sheetData>
  <mergeCells count="4">
    <mergeCell ref="A2:A3"/>
    <mergeCell ref="B2:D2"/>
    <mergeCell ref="B3:D3"/>
    <mergeCell ref="B8:B17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showGridLines="0" topLeftCell="A4" workbookViewId="0">
      <selection activeCell="E11" sqref="E11"/>
    </sheetView>
  </sheetViews>
  <sheetFormatPr defaultRowHeight="15.75" x14ac:dyDescent="0.25"/>
  <cols>
    <col min="1" max="1" width="13.5" bestFit="1" customWidth="1"/>
    <col min="2" max="2" width="13.5" customWidth="1"/>
    <col min="3" max="3" width="50" bestFit="1" customWidth="1"/>
    <col min="4" max="4" width="15.375" bestFit="1" customWidth="1"/>
    <col min="5" max="5" width="10.125" style="28" bestFit="1" customWidth="1"/>
    <col min="6" max="6" width="16.25" bestFit="1" customWidth="1"/>
    <col min="7" max="7" width="21.25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83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1">
        <v>10</v>
      </c>
      <c r="C5" s="1">
        <v>0</v>
      </c>
      <c r="D5" s="1">
        <v>10</v>
      </c>
      <c r="G5" s="3"/>
    </row>
    <row r="7" spans="1:8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29" t="s">
        <v>3</v>
      </c>
      <c r="F7" s="10" t="s">
        <v>4</v>
      </c>
      <c r="G7" s="10" t="s">
        <v>5</v>
      </c>
      <c r="H7" s="10" t="s">
        <v>6</v>
      </c>
    </row>
    <row r="8" spans="1:8" ht="33" x14ac:dyDescent="0.25">
      <c r="A8" s="12" t="s">
        <v>7</v>
      </c>
      <c r="B8" s="40" t="s">
        <v>84</v>
      </c>
      <c r="C8" s="11" t="s">
        <v>8</v>
      </c>
      <c r="D8" s="12" t="s">
        <v>9</v>
      </c>
      <c r="E8" s="30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12" t="s">
        <v>11</v>
      </c>
      <c r="B9" s="41"/>
      <c r="C9" s="11" t="s">
        <v>12</v>
      </c>
      <c r="D9" s="12" t="s">
        <v>9</v>
      </c>
      <c r="E9" s="30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12" t="s">
        <v>13</v>
      </c>
      <c r="B10" s="41"/>
      <c r="C10" s="11" t="s">
        <v>14</v>
      </c>
      <c r="D10" s="12" t="s">
        <v>9</v>
      </c>
      <c r="E10" s="30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12" t="s">
        <v>15</v>
      </c>
      <c r="B11" s="41"/>
      <c r="C11" s="11" t="s">
        <v>16</v>
      </c>
      <c r="D11" s="12" t="s">
        <v>9</v>
      </c>
      <c r="E11" s="31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12" t="s">
        <v>17</v>
      </c>
      <c r="B12" s="41"/>
      <c r="C12" s="11" t="s">
        <v>18</v>
      </c>
      <c r="D12" s="12" t="s">
        <v>9</v>
      </c>
      <c r="E12" s="30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12" t="s">
        <v>19</v>
      </c>
      <c r="B13" s="41"/>
      <c r="C13" s="11" t="s">
        <v>20</v>
      </c>
      <c r="D13" s="12" t="s">
        <v>9</v>
      </c>
      <c r="E13" s="30" t="s">
        <v>9</v>
      </c>
      <c r="F13" s="11" t="s">
        <v>10</v>
      </c>
      <c r="G13" s="11" t="s">
        <v>10</v>
      </c>
      <c r="H13" s="18" t="s">
        <v>33</v>
      </c>
    </row>
    <row r="14" spans="1:8" ht="15.6" customHeight="1" x14ac:dyDescent="0.25">
      <c r="A14" s="12" t="s">
        <v>21</v>
      </c>
      <c r="B14" s="41"/>
      <c r="C14" s="11" t="s">
        <v>22</v>
      </c>
      <c r="D14" s="12" t="s">
        <v>23</v>
      </c>
      <c r="E14" s="30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12" t="s">
        <v>39</v>
      </c>
      <c r="B15" s="41"/>
      <c r="C15" s="16" t="s">
        <v>35</v>
      </c>
      <c r="D15" s="15" t="s">
        <v>9</v>
      </c>
      <c r="E15" s="30" t="s">
        <v>9</v>
      </c>
      <c r="F15" s="13" t="s">
        <v>10</v>
      </c>
      <c r="G15" s="11" t="s">
        <v>10</v>
      </c>
      <c r="H15" s="18" t="s">
        <v>33</v>
      </c>
    </row>
    <row r="16" spans="1:8" ht="16.5" x14ac:dyDescent="0.25">
      <c r="A16" s="12" t="s">
        <v>40</v>
      </c>
      <c r="B16" s="41"/>
      <c r="C16" s="16" t="s">
        <v>37</v>
      </c>
      <c r="D16" s="15" t="s">
        <v>9</v>
      </c>
      <c r="E16" s="30" t="s">
        <v>9</v>
      </c>
      <c r="F16" s="13" t="s">
        <v>10</v>
      </c>
      <c r="G16" s="11" t="s">
        <v>10</v>
      </c>
      <c r="H16" s="18" t="s">
        <v>33</v>
      </c>
    </row>
    <row r="17" spans="1:8" ht="16.5" x14ac:dyDescent="0.25">
      <c r="A17" s="12" t="s">
        <v>41</v>
      </c>
      <c r="B17" s="42"/>
      <c r="C17" s="19" t="s">
        <v>85</v>
      </c>
      <c r="D17" s="12" t="s">
        <v>9</v>
      </c>
      <c r="E17" s="30" t="s">
        <v>9</v>
      </c>
      <c r="F17" s="19" t="s">
        <v>45</v>
      </c>
      <c r="G17" s="19" t="s">
        <v>86</v>
      </c>
      <c r="H17" s="18" t="s">
        <v>33</v>
      </c>
    </row>
  </sheetData>
  <mergeCells count="4">
    <mergeCell ref="A2:A3"/>
    <mergeCell ref="B2:D2"/>
    <mergeCell ref="B3:D3"/>
    <mergeCell ref="B8:B17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workbookViewId="0">
      <selection sqref="A1:XFD1048576"/>
    </sheetView>
  </sheetViews>
  <sheetFormatPr defaultRowHeight="15.75" x14ac:dyDescent="0.25"/>
  <cols>
    <col min="1" max="1" width="13.5" bestFit="1" customWidth="1"/>
    <col min="2" max="2" width="14" customWidth="1"/>
    <col min="3" max="3" width="44.875" bestFit="1" customWidth="1"/>
    <col min="4" max="4" width="15.375" bestFit="1" customWidth="1"/>
    <col min="5" max="5" width="10.25" style="28" customWidth="1"/>
    <col min="6" max="6" width="18.25" customWidth="1"/>
    <col min="7" max="7" width="19.25" bestFit="1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89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33">
        <v>11</v>
      </c>
      <c r="C5" s="33">
        <v>0</v>
      </c>
      <c r="D5" s="33">
        <v>11</v>
      </c>
      <c r="G5" s="3"/>
    </row>
    <row r="7" spans="1:8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29" t="s">
        <v>3</v>
      </c>
      <c r="F7" s="10" t="s">
        <v>4</v>
      </c>
      <c r="G7" s="10" t="s">
        <v>5</v>
      </c>
      <c r="H7" s="10" t="s">
        <v>6</v>
      </c>
    </row>
    <row r="8" spans="1:8" ht="33" x14ac:dyDescent="0.25">
      <c r="A8" s="34" t="s">
        <v>7</v>
      </c>
      <c r="B8" s="44" t="s">
        <v>90</v>
      </c>
      <c r="C8" s="11" t="s">
        <v>8</v>
      </c>
      <c r="D8" s="34" t="s">
        <v>9</v>
      </c>
      <c r="E8" s="30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34" t="s">
        <v>11</v>
      </c>
      <c r="B9" s="44"/>
      <c r="C9" s="11" t="s">
        <v>12</v>
      </c>
      <c r="D9" s="34" t="s">
        <v>9</v>
      </c>
      <c r="E9" s="30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34" t="s">
        <v>13</v>
      </c>
      <c r="B10" s="44"/>
      <c r="C10" s="11" t="s">
        <v>14</v>
      </c>
      <c r="D10" s="34" t="s">
        <v>9</v>
      </c>
      <c r="E10" s="30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34" t="s">
        <v>15</v>
      </c>
      <c r="B11" s="44"/>
      <c r="C11" s="11" t="s">
        <v>16</v>
      </c>
      <c r="D11" s="34" t="s">
        <v>9</v>
      </c>
      <c r="E11" s="31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34" t="s">
        <v>17</v>
      </c>
      <c r="B12" s="44"/>
      <c r="C12" s="11" t="s">
        <v>18</v>
      </c>
      <c r="D12" s="34" t="s">
        <v>9</v>
      </c>
      <c r="E12" s="30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34" t="s">
        <v>19</v>
      </c>
      <c r="B13" s="44"/>
      <c r="C13" s="11" t="s">
        <v>20</v>
      </c>
      <c r="D13" s="34" t="s">
        <v>9</v>
      </c>
      <c r="E13" s="30" t="s">
        <v>9</v>
      </c>
      <c r="F13" s="11" t="s">
        <v>10</v>
      </c>
      <c r="G13" s="11" t="s">
        <v>10</v>
      </c>
      <c r="H13" s="18" t="s">
        <v>33</v>
      </c>
    </row>
    <row r="14" spans="1:8" ht="33" x14ac:dyDescent="0.25">
      <c r="A14" s="34" t="s">
        <v>21</v>
      </c>
      <c r="B14" s="44"/>
      <c r="C14" s="11" t="s">
        <v>22</v>
      </c>
      <c r="D14" s="34" t="s">
        <v>23</v>
      </c>
      <c r="E14" s="30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34" t="s">
        <v>39</v>
      </c>
      <c r="B15" s="44"/>
      <c r="C15" s="20" t="s">
        <v>35</v>
      </c>
      <c r="D15" s="33" t="s">
        <v>9</v>
      </c>
      <c r="E15" s="30" t="s">
        <v>9</v>
      </c>
      <c r="F15" s="13" t="s">
        <v>10</v>
      </c>
      <c r="G15" s="11" t="s">
        <v>10</v>
      </c>
      <c r="H15" s="18" t="s">
        <v>33</v>
      </c>
    </row>
    <row r="16" spans="1:8" ht="16.5" x14ac:dyDescent="0.25">
      <c r="A16" s="34" t="s">
        <v>40</v>
      </c>
      <c r="B16" s="44"/>
      <c r="C16" s="20" t="s">
        <v>37</v>
      </c>
      <c r="D16" s="33" t="s">
        <v>9</v>
      </c>
      <c r="E16" s="30" t="s">
        <v>9</v>
      </c>
      <c r="F16" s="13" t="s">
        <v>10</v>
      </c>
      <c r="G16" s="11" t="s">
        <v>10</v>
      </c>
      <c r="H16" s="18" t="s">
        <v>33</v>
      </c>
    </row>
    <row r="17" spans="1:8" ht="82.5" x14ac:dyDescent="0.25">
      <c r="A17" s="34" t="s">
        <v>41</v>
      </c>
      <c r="B17" s="44"/>
      <c r="C17" s="11" t="s">
        <v>91</v>
      </c>
      <c r="D17" s="34" t="s">
        <v>9</v>
      </c>
      <c r="E17" s="30" t="s">
        <v>9</v>
      </c>
      <c r="F17" s="13" t="s">
        <v>92</v>
      </c>
      <c r="G17" s="13" t="s">
        <v>93</v>
      </c>
      <c r="H17" s="18" t="s">
        <v>33</v>
      </c>
    </row>
    <row r="18" spans="1:8" ht="82.5" x14ac:dyDescent="0.25">
      <c r="A18" s="34" t="s">
        <v>42</v>
      </c>
      <c r="B18" s="44"/>
      <c r="C18" s="11" t="s">
        <v>94</v>
      </c>
      <c r="D18" s="34" t="s">
        <v>95</v>
      </c>
      <c r="E18" s="30" t="s">
        <v>9</v>
      </c>
      <c r="F18" s="13" t="s">
        <v>96</v>
      </c>
      <c r="G18" s="13" t="s">
        <v>97</v>
      </c>
      <c r="H18" s="18" t="s">
        <v>33</v>
      </c>
    </row>
  </sheetData>
  <mergeCells count="4">
    <mergeCell ref="A2:A3"/>
    <mergeCell ref="B2:D2"/>
    <mergeCell ref="B3:D3"/>
    <mergeCell ref="B8:B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workbookViewId="0">
      <selection activeCell="C19" sqref="C19"/>
    </sheetView>
  </sheetViews>
  <sheetFormatPr defaultRowHeight="15.75" x14ac:dyDescent="0.25"/>
  <cols>
    <col min="1" max="1" width="13.5" bestFit="1" customWidth="1"/>
    <col min="2" max="2" width="12.5" bestFit="1" customWidth="1"/>
    <col min="3" max="3" width="44.875" bestFit="1" customWidth="1"/>
    <col min="4" max="4" width="15.375" bestFit="1" customWidth="1"/>
    <col min="5" max="5" width="10.25" style="28" customWidth="1"/>
    <col min="6" max="6" width="19.5" customWidth="1"/>
    <col min="7" max="7" width="18.625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98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33">
        <v>9</v>
      </c>
      <c r="C5" s="33">
        <v>0</v>
      </c>
      <c r="D5" s="33">
        <v>9</v>
      </c>
      <c r="G5" s="3"/>
    </row>
    <row r="7" spans="1:8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29" t="s">
        <v>3</v>
      </c>
      <c r="F7" s="10" t="s">
        <v>4</v>
      </c>
      <c r="G7" s="10" t="s">
        <v>5</v>
      </c>
      <c r="H7" s="10" t="s">
        <v>6</v>
      </c>
    </row>
    <row r="8" spans="1:8" ht="33" x14ac:dyDescent="0.25">
      <c r="A8" s="34" t="s">
        <v>7</v>
      </c>
      <c r="B8" s="44" t="s">
        <v>99</v>
      </c>
      <c r="C8" s="11" t="s">
        <v>8</v>
      </c>
      <c r="D8" s="34" t="s">
        <v>9</v>
      </c>
      <c r="E8" s="30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34" t="s">
        <v>11</v>
      </c>
      <c r="B9" s="44"/>
      <c r="C9" s="11" t="s">
        <v>12</v>
      </c>
      <c r="D9" s="34" t="s">
        <v>9</v>
      </c>
      <c r="E9" s="30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34" t="s">
        <v>13</v>
      </c>
      <c r="B10" s="44"/>
      <c r="C10" s="11" t="s">
        <v>14</v>
      </c>
      <c r="D10" s="34" t="s">
        <v>9</v>
      </c>
      <c r="E10" s="30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34" t="s">
        <v>15</v>
      </c>
      <c r="B11" s="44"/>
      <c r="C11" s="11" t="s">
        <v>16</v>
      </c>
      <c r="D11" s="34" t="s">
        <v>9</v>
      </c>
      <c r="E11" s="31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34" t="s">
        <v>17</v>
      </c>
      <c r="B12" s="44"/>
      <c r="C12" s="11" t="s">
        <v>18</v>
      </c>
      <c r="D12" s="34" t="s">
        <v>9</v>
      </c>
      <c r="E12" s="30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34" t="s">
        <v>19</v>
      </c>
      <c r="B13" s="44"/>
      <c r="C13" s="11" t="s">
        <v>20</v>
      </c>
      <c r="D13" s="34" t="s">
        <v>9</v>
      </c>
      <c r="E13" s="30" t="s">
        <v>9</v>
      </c>
      <c r="F13" s="11" t="s">
        <v>10</v>
      </c>
      <c r="G13" s="11" t="s">
        <v>10</v>
      </c>
      <c r="H13" s="18" t="s">
        <v>33</v>
      </c>
    </row>
    <row r="14" spans="1:8" ht="33" x14ac:dyDescent="0.25">
      <c r="A14" s="34" t="s">
        <v>21</v>
      </c>
      <c r="B14" s="44"/>
      <c r="C14" s="11" t="s">
        <v>22</v>
      </c>
      <c r="D14" s="34" t="s">
        <v>23</v>
      </c>
      <c r="E14" s="30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34" t="s">
        <v>39</v>
      </c>
      <c r="B15" s="44"/>
      <c r="C15" s="20" t="s">
        <v>35</v>
      </c>
      <c r="D15" s="33" t="s">
        <v>9</v>
      </c>
      <c r="E15" s="30" t="s">
        <v>9</v>
      </c>
      <c r="F15" s="13" t="s">
        <v>10</v>
      </c>
      <c r="G15" s="11" t="s">
        <v>10</v>
      </c>
      <c r="H15" s="18" t="s">
        <v>33</v>
      </c>
    </row>
    <row r="16" spans="1:8" ht="16.5" x14ac:dyDescent="0.25">
      <c r="A16" s="34" t="s">
        <v>40</v>
      </c>
      <c r="B16" s="44"/>
      <c r="C16" s="20" t="s">
        <v>37</v>
      </c>
      <c r="D16" s="33" t="s">
        <v>9</v>
      </c>
      <c r="E16" s="30" t="s">
        <v>9</v>
      </c>
      <c r="F16" s="13" t="s">
        <v>10</v>
      </c>
      <c r="G16" s="11" t="s">
        <v>10</v>
      </c>
      <c r="H16" s="18" t="s">
        <v>33</v>
      </c>
    </row>
  </sheetData>
  <mergeCells count="4">
    <mergeCell ref="A2:A3"/>
    <mergeCell ref="B2:D2"/>
    <mergeCell ref="B3:D3"/>
    <mergeCell ref="B8:B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tabSelected="1" workbookViewId="0">
      <selection activeCell="D19" sqref="D19"/>
    </sheetView>
  </sheetViews>
  <sheetFormatPr defaultRowHeight="15.75" x14ac:dyDescent="0.25"/>
  <cols>
    <col min="1" max="1" width="13.5" bestFit="1" customWidth="1"/>
    <col min="2" max="2" width="14.5" bestFit="1" customWidth="1"/>
    <col min="3" max="3" width="44.875" bestFit="1" customWidth="1"/>
    <col min="4" max="4" width="15.375" bestFit="1" customWidth="1"/>
    <col min="5" max="5" width="10.25" style="28" customWidth="1"/>
    <col min="6" max="7" width="18.625" bestFit="1" customWidth="1"/>
    <col min="8" max="8" width="6.75" bestFit="1" customWidth="1"/>
  </cols>
  <sheetData>
    <row r="2" spans="1:8" ht="16.5" x14ac:dyDescent="0.25">
      <c r="A2" s="38" t="s">
        <v>26</v>
      </c>
      <c r="B2" s="43" t="s">
        <v>25</v>
      </c>
      <c r="C2" s="39"/>
      <c r="D2" s="39"/>
      <c r="G2" s="3"/>
    </row>
    <row r="3" spans="1:8" ht="16.5" x14ac:dyDescent="0.25">
      <c r="A3" s="39"/>
      <c r="B3" s="43" t="s">
        <v>100</v>
      </c>
      <c r="C3" s="39"/>
      <c r="D3" s="39"/>
      <c r="G3" s="3"/>
    </row>
    <row r="4" spans="1:8" ht="16.5" x14ac:dyDescent="0.25">
      <c r="A4" s="2"/>
      <c r="B4" s="7" t="s">
        <v>27</v>
      </c>
      <c r="C4" s="7" t="s">
        <v>28</v>
      </c>
      <c r="D4" s="7" t="s">
        <v>29</v>
      </c>
      <c r="G4" s="3"/>
    </row>
    <row r="5" spans="1:8" ht="16.5" x14ac:dyDescent="0.25">
      <c r="A5" s="2"/>
      <c r="B5" s="33">
        <v>10</v>
      </c>
      <c r="C5" s="33">
        <v>0</v>
      </c>
      <c r="D5" s="33">
        <v>10</v>
      </c>
      <c r="G5" s="3"/>
    </row>
    <row r="7" spans="1:8" ht="16.5" x14ac:dyDescent="0.25">
      <c r="A7" s="10" t="s">
        <v>31</v>
      </c>
      <c r="B7" s="10" t="s">
        <v>0</v>
      </c>
      <c r="C7" s="10" t="s">
        <v>1</v>
      </c>
      <c r="D7" s="10" t="s">
        <v>2</v>
      </c>
      <c r="E7" s="29" t="s">
        <v>3</v>
      </c>
      <c r="F7" s="10" t="s">
        <v>4</v>
      </c>
      <c r="G7" s="10" t="s">
        <v>5</v>
      </c>
      <c r="H7" s="10" t="s">
        <v>6</v>
      </c>
    </row>
    <row r="8" spans="1:8" ht="33" x14ac:dyDescent="0.25">
      <c r="A8" s="34" t="s">
        <v>7</v>
      </c>
      <c r="B8" s="40" t="s">
        <v>101</v>
      </c>
      <c r="C8" s="11" t="s">
        <v>8</v>
      </c>
      <c r="D8" s="34" t="s">
        <v>9</v>
      </c>
      <c r="E8" s="30" t="s">
        <v>9</v>
      </c>
      <c r="F8" s="11" t="s">
        <v>10</v>
      </c>
      <c r="G8" s="11" t="s">
        <v>10</v>
      </c>
      <c r="H8" s="18" t="s">
        <v>33</v>
      </c>
    </row>
    <row r="9" spans="1:8" ht="16.5" x14ac:dyDescent="0.25">
      <c r="A9" s="34" t="s">
        <v>11</v>
      </c>
      <c r="B9" s="41"/>
      <c r="C9" s="11" t="s">
        <v>12</v>
      </c>
      <c r="D9" s="34" t="s">
        <v>9</v>
      </c>
      <c r="E9" s="30" t="s">
        <v>9</v>
      </c>
      <c r="F9" s="11" t="s">
        <v>10</v>
      </c>
      <c r="G9" s="11" t="s">
        <v>10</v>
      </c>
      <c r="H9" s="18" t="s">
        <v>33</v>
      </c>
    </row>
    <row r="10" spans="1:8" ht="16.5" x14ac:dyDescent="0.25">
      <c r="A10" s="34" t="s">
        <v>13</v>
      </c>
      <c r="B10" s="41"/>
      <c r="C10" s="11" t="s">
        <v>14</v>
      </c>
      <c r="D10" s="34" t="s">
        <v>9</v>
      </c>
      <c r="E10" s="30" t="s">
        <v>9</v>
      </c>
      <c r="F10" s="11" t="s">
        <v>10</v>
      </c>
      <c r="G10" s="11" t="s">
        <v>10</v>
      </c>
      <c r="H10" s="18" t="s">
        <v>33</v>
      </c>
    </row>
    <row r="11" spans="1:8" ht="16.5" x14ac:dyDescent="0.25">
      <c r="A11" s="34" t="s">
        <v>15</v>
      </c>
      <c r="B11" s="41"/>
      <c r="C11" s="11" t="s">
        <v>16</v>
      </c>
      <c r="D11" s="34" t="s">
        <v>9</v>
      </c>
      <c r="E11" s="31" t="s">
        <v>9</v>
      </c>
      <c r="F11" s="11" t="s">
        <v>10</v>
      </c>
      <c r="G11" s="11" t="s">
        <v>10</v>
      </c>
      <c r="H11" s="18" t="s">
        <v>33</v>
      </c>
    </row>
    <row r="12" spans="1:8" ht="16.5" x14ac:dyDescent="0.25">
      <c r="A12" s="34" t="s">
        <v>17</v>
      </c>
      <c r="B12" s="41"/>
      <c r="C12" s="11" t="s">
        <v>18</v>
      </c>
      <c r="D12" s="34" t="s">
        <v>9</v>
      </c>
      <c r="E12" s="30" t="s">
        <v>9</v>
      </c>
      <c r="F12" s="11" t="s">
        <v>10</v>
      </c>
      <c r="G12" s="11" t="s">
        <v>10</v>
      </c>
      <c r="H12" s="18" t="s">
        <v>33</v>
      </c>
    </row>
    <row r="13" spans="1:8" ht="16.5" x14ac:dyDescent="0.25">
      <c r="A13" s="34" t="s">
        <v>19</v>
      </c>
      <c r="B13" s="41"/>
      <c r="C13" s="11" t="s">
        <v>20</v>
      </c>
      <c r="D13" s="34" t="s">
        <v>9</v>
      </c>
      <c r="E13" s="30" t="s">
        <v>9</v>
      </c>
      <c r="F13" s="11" t="s">
        <v>10</v>
      </c>
      <c r="G13" s="11" t="s">
        <v>10</v>
      </c>
      <c r="H13" s="18" t="s">
        <v>33</v>
      </c>
    </row>
    <row r="14" spans="1:8" ht="33" x14ac:dyDescent="0.25">
      <c r="A14" s="34" t="s">
        <v>21</v>
      </c>
      <c r="B14" s="41"/>
      <c r="C14" s="11" t="s">
        <v>22</v>
      </c>
      <c r="D14" s="34" t="s">
        <v>23</v>
      </c>
      <c r="E14" s="30" t="s">
        <v>9</v>
      </c>
      <c r="F14" s="13" t="s">
        <v>10</v>
      </c>
      <c r="G14" s="13" t="s">
        <v>24</v>
      </c>
      <c r="H14" s="18" t="s">
        <v>33</v>
      </c>
    </row>
    <row r="15" spans="1:8" ht="16.5" x14ac:dyDescent="0.25">
      <c r="A15" s="34" t="s">
        <v>39</v>
      </c>
      <c r="B15" s="41"/>
      <c r="C15" s="20" t="s">
        <v>35</v>
      </c>
      <c r="D15" s="33" t="s">
        <v>9</v>
      </c>
      <c r="E15" s="30" t="s">
        <v>9</v>
      </c>
      <c r="F15" s="13" t="s">
        <v>10</v>
      </c>
      <c r="G15" s="11" t="s">
        <v>10</v>
      </c>
      <c r="H15" s="18" t="s">
        <v>33</v>
      </c>
    </row>
    <row r="16" spans="1:8" ht="16.5" x14ac:dyDescent="0.25">
      <c r="A16" s="32" t="s">
        <v>40</v>
      </c>
      <c r="B16" s="41"/>
      <c r="C16" s="45" t="s">
        <v>37</v>
      </c>
      <c r="D16" s="46" t="s">
        <v>9</v>
      </c>
      <c r="E16" s="47" t="s">
        <v>9</v>
      </c>
      <c r="F16" s="48" t="s">
        <v>10</v>
      </c>
      <c r="G16" s="49" t="s">
        <v>10</v>
      </c>
      <c r="H16" s="50" t="s">
        <v>33</v>
      </c>
    </row>
    <row r="17" spans="1:8" ht="33" x14ac:dyDescent="0.25">
      <c r="A17" s="34" t="s">
        <v>41</v>
      </c>
      <c r="B17" s="42"/>
      <c r="C17" s="20" t="s">
        <v>102</v>
      </c>
      <c r="D17" s="34" t="s">
        <v>9</v>
      </c>
      <c r="E17" s="30" t="s">
        <v>9</v>
      </c>
      <c r="F17" s="11" t="s">
        <v>103</v>
      </c>
      <c r="G17" s="11" t="s">
        <v>104</v>
      </c>
      <c r="H17" s="18" t="s">
        <v>33</v>
      </c>
    </row>
  </sheetData>
  <mergeCells count="4">
    <mergeCell ref="A2:A3"/>
    <mergeCell ref="B2:D2"/>
    <mergeCell ref="B3:D3"/>
    <mergeCell ref="B8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 Report Sprint 1</vt:lpstr>
      <vt:lpstr>UI Register</vt:lpstr>
      <vt:lpstr>UI Login</vt:lpstr>
      <vt:lpstr>UI Logout</vt:lpstr>
      <vt:lpstr>UI View</vt:lpstr>
      <vt:lpstr>UI Make Online Reservations</vt:lpstr>
      <vt:lpstr>UI Payment</vt:lpstr>
      <vt:lpstr>UI Cancel Ticket</vt:lpstr>
      <vt:lpstr>UI Edit</vt:lpstr>
      <vt:lpstr>UI Add Coach Of Admin</vt:lpstr>
      <vt:lpstr>UI Edit Coach Of Admin</vt:lpstr>
      <vt:lpstr>UI Delete Coach Of Admin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2022-12-31T13:53:00Z</dcterms:created>
  <dcterms:modified xsi:type="dcterms:W3CDTF">2023-05-21T06:39:51Z</dcterms:modified>
</cp:coreProperties>
</file>